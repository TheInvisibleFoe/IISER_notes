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inv setup" sheetId="4" r:id="rId8"/>
  </sheets>
  <definedNames/>
  <calcPr/>
</workbook>
</file>

<file path=xl/sharedStrings.xml><?xml version="1.0" encoding="utf-8"?>
<sst xmlns="http://schemas.openxmlformats.org/spreadsheetml/2006/main" count="31" uniqueCount="7">
  <si>
    <t>msd</t>
  </si>
  <si>
    <t>vsd</t>
  </si>
  <si>
    <t>beta</t>
  </si>
  <si>
    <t>fringe shift</t>
  </si>
  <si>
    <t>slope</t>
  </si>
  <si>
    <t>angle diff</t>
  </si>
  <si>
    <t>beta diff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</si>
</sst>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fringe shift vs. beta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Sheet1!$C$2:$C$1000</c:f>
            </c:numRef>
          </c:xVal>
          <c:yVal>
            <c:numRef>
              <c:f>Sheet1!$D$2:$D$1000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17226"/>
        <c:axId val="802205373"/>
      </c:scatterChart>
      <c:valAx>
        <c:axId val="1953172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beta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2205373"/>
      </c:valAx>
      <c:valAx>
        <c:axId val="8022053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fringe shift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3172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542925</xdr:colOff>
      <xdr:row>5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</v>
      </c>
      <c r="B2" s="1">
        <v>0.0</v>
      </c>
      <c r="C2" s="1">
        <f t="shared" ref="C2:C14" si="1">(A2+($F$2*B2))*PI()/180</f>
        <v>0</v>
      </c>
      <c r="D2" s="1">
        <v>0.0</v>
      </c>
      <c r="E2" s="2">
        <f t="shared" ref="E2:E20" si="2">2*PI()*(D3-D2)/(C3-C2)</f>
        <v>7.165605096</v>
      </c>
      <c r="F2" s="2">
        <f>2/50</f>
        <v>0.04</v>
      </c>
    </row>
    <row r="3">
      <c r="A3" s="1">
        <v>50.0</v>
      </c>
      <c r="B3" s="1">
        <v>6.0</v>
      </c>
      <c r="C3" s="1">
        <f t="shared" si="1"/>
        <v>0.8768534162</v>
      </c>
      <c r="D3" s="1">
        <v>1.0</v>
      </c>
      <c r="E3" s="2">
        <f t="shared" si="2"/>
        <v>2.116153304</v>
      </c>
      <c r="F3" s="1">
        <v>49.0</v>
      </c>
      <c r="G3" s="1">
        <v>20.0</v>
      </c>
    </row>
    <row r="4">
      <c r="A4" s="1">
        <v>220.0</v>
      </c>
      <c r="B4" s="1">
        <v>9.0</v>
      </c>
      <c r="C4" s="1">
        <f t="shared" si="1"/>
        <v>3.84600754</v>
      </c>
      <c r="D4" s="1">
        <v>2.0</v>
      </c>
      <c r="E4" s="2">
        <f t="shared" si="2"/>
        <v>4.497751124</v>
      </c>
      <c r="F4" s="1" t="s">
        <v>0</v>
      </c>
      <c r="G4" s="1" t="s">
        <v>1</v>
      </c>
    </row>
    <row r="5">
      <c r="A5" s="1">
        <v>300.0</v>
      </c>
      <c r="B5" s="1">
        <v>10.0</v>
      </c>
      <c r="C5" s="1">
        <f t="shared" si="1"/>
        <v>5.242969073</v>
      </c>
      <c r="D5" s="1">
        <v>3.0</v>
      </c>
      <c r="E5" s="2">
        <f t="shared" si="2"/>
        <v>5.614472863</v>
      </c>
    </row>
    <row r="6">
      <c r="A6" s="1">
        <v>364.0</v>
      </c>
      <c r="B6" s="1">
        <v>13.0</v>
      </c>
      <c r="C6" s="1">
        <f t="shared" si="1"/>
        <v>6.362074189</v>
      </c>
      <c r="D6" s="1">
        <v>4.0</v>
      </c>
      <c r="E6" s="2">
        <f t="shared" si="2"/>
        <v>12.82051282</v>
      </c>
    </row>
    <row r="7">
      <c r="A7" s="1">
        <v>392.0</v>
      </c>
      <c r="B7" s="1">
        <v>15.0</v>
      </c>
      <c r="C7" s="1">
        <f t="shared" si="1"/>
        <v>6.852162643</v>
      </c>
      <c r="D7" s="1">
        <v>5.0</v>
      </c>
      <c r="E7" s="2">
        <f t="shared" si="2"/>
        <v>4.87804878</v>
      </c>
    </row>
    <row r="8">
      <c r="A8" s="2">
        <f>360+106</f>
        <v>466</v>
      </c>
      <c r="B8" s="1">
        <v>10.0</v>
      </c>
      <c r="C8" s="1">
        <f t="shared" si="1"/>
        <v>8.140215631</v>
      </c>
      <c r="D8" s="1">
        <v>6.0</v>
      </c>
      <c r="E8" s="2">
        <f t="shared" si="2"/>
        <v>3.159003159</v>
      </c>
    </row>
    <row r="9">
      <c r="A9" s="2">
        <f>360+220</f>
        <v>580</v>
      </c>
      <c r="B9" s="1">
        <v>9.0</v>
      </c>
      <c r="C9" s="1">
        <f t="shared" si="1"/>
        <v>10.12919285</v>
      </c>
      <c r="D9" s="1">
        <v>7.0</v>
      </c>
      <c r="E9" s="2">
        <f t="shared" si="2"/>
        <v>3.153468816</v>
      </c>
    </row>
    <row r="10">
      <c r="A10" s="2">
        <f>334+360</f>
        <v>694</v>
      </c>
      <c r="B10" s="1">
        <v>13.0</v>
      </c>
      <c r="C10" s="1">
        <f t="shared" si="1"/>
        <v>12.12166072</v>
      </c>
      <c r="D10" s="1">
        <v>8.0</v>
      </c>
      <c r="E10" s="2">
        <f t="shared" si="2"/>
        <v>6.43776824</v>
      </c>
    </row>
    <row r="11">
      <c r="A11" s="2">
        <f>720+30</f>
        <v>750</v>
      </c>
      <c r="B11" s="1">
        <v>11.0</v>
      </c>
      <c r="C11" s="1">
        <f t="shared" si="1"/>
        <v>13.09764884</v>
      </c>
      <c r="D11" s="1">
        <v>9.0</v>
      </c>
      <c r="E11" s="2">
        <f t="shared" si="2"/>
        <v>-26.60972405</v>
      </c>
    </row>
    <row r="12">
      <c r="A12" s="2">
        <f>720+152</f>
        <v>872</v>
      </c>
      <c r="B12" s="1">
        <v>5.0</v>
      </c>
      <c r="C12" s="1">
        <f t="shared" si="1"/>
        <v>15.22276174</v>
      </c>
      <c r="E12" s="2">
        <f t="shared" si="2"/>
        <v>0</v>
      </c>
    </row>
    <row r="13">
      <c r="A13" s="2">
        <f>720+284</f>
        <v>1004</v>
      </c>
      <c r="B13" s="1">
        <v>9.0</v>
      </c>
      <c r="C13" s="1">
        <f t="shared" si="1"/>
        <v>17.52938888</v>
      </c>
      <c r="E13" s="2">
        <f t="shared" si="2"/>
        <v>0</v>
      </c>
    </row>
    <row r="14">
      <c r="A14" s="2">
        <f>720+340</f>
        <v>1060</v>
      </c>
      <c r="B14" s="1">
        <v>0.0</v>
      </c>
      <c r="C14" s="1">
        <f t="shared" si="1"/>
        <v>18.50049007</v>
      </c>
      <c r="E14" s="2">
        <f t="shared" si="2"/>
        <v>0</v>
      </c>
    </row>
    <row r="15">
      <c r="C15" s="1">
        <f t="shared" ref="C15:C20" si="3">A15+($F$2*B15)</f>
        <v>0</v>
      </c>
      <c r="E15" s="2" t="str">
        <f t="shared" si="2"/>
        <v>#DIV/0!</v>
      </c>
    </row>
    <row r="16">
      <c r="C16" s="1">
        <f t="shared" si="3"/>
        <v>0</v>
      </c>
      <c r="E16" s="2" t="str">
        <f t="shared" si="2"/>
        <v>#DIV/0!</v>
      </c>
    </row>
    <row r="17">
      <c r="C17" s="1">
        <f t="shared" si="3"/>
        <v>0</v>
      </c>
      <c r="E17" s="2" t="str">
        <f t="shared" si="2"/>
        <v>#DIV/0!</v>
      </c>
    </row>
    <row r="18">
      <c r="C18" s="1">
        <f t="shared" si="3"/>
        <v>0</v>
      </c>
      <c r="E18" s="2" t="str">
        <f t="shared" si="2"/>
        <v>#DIV/0!</v>
      </c>
    </row>
    <row r="19">
      <c r="C19" s="1">
        <f t="shared" si="3"/>
        <v>0</v>
      </c>
      <c r="E19" s="2" t="str">
        <f t="shared" si="2"/>
        <v>#DIV/0!</v>
      </c>
    </row>
    <row r="20">
      <c r="C20" s="1">
        <f t="shared" si="3"/>
        <v>0</v>
      </c>
      <c r="E20" s="2" t="str">
        <f t="shared" si="2"/>
        <v>#DIV/0!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</v>
      </c>
      <c r="C1" s="1" t="s">
        <v>2</v>
      </c>
      <c r="D1" s="1" t="s">
        <v>6</v>
      </c>
      <c r="E1" s="1" t="s">
        <v>3</v>
      </c>
      <c r="F1" s="1" t="s">
        <v>4</v>
      </c>
    </row>
    <row r="2">
      <c r="A2" s="1">
        <v>184.0</v>
      </c>
      <c r="B2" s="1">
        <v>0.0</v>
      </c>
      <c r="C2" s="1">
        <f t="shared" ref="C2:C17" si="1">(A2)*(PI()/180)</f>
        <v>3.211405824</v>
      </c>
      <c r="D2" s="1"/>
      <c r="E2" s="1">
        <v>0.0</v>
      </c>
      <c r="F2" s="2">
        <f t="shared" ref="F2:F17" si="2">2*PI()*(E3-E2)/(C3-C2)</f>
        <v>2.142857143</v>
      </c>
      <c r="G2" s="2">
        <f>2/50</f>
        <v>0.04</v>
      </c>
    </row>
    <row r="3">
      <c r="A3" s="1">
        <v>352.0</v>
      </c>
      <c r="B3" s="1">
        <f t="shared" ref="B3:B17" si="3">A3-A2</f>
        <v>168</v>
      </c>
      <c r="C3" s="1">
        <f t="shared" si="1"/>
        <v>6.143558967</v>
      </c>
      <c r="D3" s="1">
        <f t="shared" ref="D3:D17" si="4">C3-C2</f>
        <v>2.932153143</v>
      </c>
      <c r="E3" s="1">
        <v>1.0</v>
      </c>
      <c r="F3" s="2">
        <f t="shared" si="2"/>
        <v>2.142857143</v>
      </c>
      <c r="G3" s="1">
        <v>49.0</v>
      </c>
      <c r="H3" s="1">
        <v>20.0</v>
      </c>
    </row>
    <row r="4">
      <c r="A4" s="1">
        <f>360+160</f>
        <v>520</v>
      </c>
      <c r="B4" s="1">
        <f t="shared" si="3"/>
        <v>168</v>
      </c>
      <c r="C4" s="1">
        <f t="shared" si="1"/>
        <v>9.07571211</v>
      </c>
      <c r="D4" s="1">
        <f t="shared" si="4"/>
        <v>2.932153143</v>
      </c>
      <c r="E4" s="1">
        <v>2.0</v>
      </c>
      <c r="F4" s="2">
        <f t="shared" si="2"/>
        <v>3.673469388</v>
      </c>
      <c r="G4" s="1" t="s">
        <v>0</v>
      </c>
      <c r="H4" s="1" t="s">
        <v>1</v>
      </c>
    </row>
    <row r="5">
      <c r="A5" s="1">
        <f>258+360</f>
        <v>618</v>
      </c>
      <c r="B5" s="1">
        <f t="shared" si="3"/>
        <v>98</v>
      </c>
      <c r="C5" s="1">
        <f t="shared" si="1"/>
        <v>10.78613478</v>
      </c>
      <c r="D5" s="1">
        <f t="shared" si="4"/>
        <v>1.710422667</v>
      </c>
      <c r="E5" s="1">
        <v>3.0</v>
      </c>
      <c r="F5" s="2">
        <f t="shared" si="2"/>
        <v>1.463414634</v>
      </c>
    </row>
    <row r="6">
      <c r="A6" s="2">
        <f>720+144</f>
        <v>864</v>
      </c>
      <c r="B6" s="1">
        <f t="shared" si="3"/>
        <v>246</v>
      </c>
      <c r="C6" s="1">
        <f t="shared" si="1"/>
        <v>15.07964474</v>
      </c>
      <c r="D6" s="1">
        <f t="shared" si="4"/>
        <v>4.29350996</v>
      </c>
      <c r="E6" s="1">
        <v>4.0</v>
      </c>
      <c r="F6" s="2">
        <f t="shared" si="2"/>
        <v>2.608695652</v>
      </c>
    </row>
    <row r="7">
      <c r="A7" s="2">
        <f>720+282</f>
        <v>1002</v>
      </c>
      <c r="B7" s="1">
        <f t="shared" si="3"/>
        <v>138</v>
      </c>
      <c r="C7" s="1">
        <f t="shared" si="1"/>
        <v>17.4881991</v>
      </c>
      <c r="D7" s="1">
        <f t="shared" si="4"/>
        <v>2.408554368</v>
      </c>
      <c r="E7" s="1">
        <v>5.0</v>
      </c>
      <c r="F7" s="2">
        <f t="shared" si="2"/>
        <v>1.592920354</v>
      </c>
    </row>
    <row r="8">
      <c r="A8" s="2">
        <f>720+360+148</f>
        <v>1228</v>
      </c>
      <c r="B8" s="1">
        <f t="shared" si="3"/>
        <v>226</v>
      </c>
      <c r="C8" s="1">
        <f t="shared" si="1"/>
        <v>21.43264321</v>
      </c>
      <c r="D8" s="1">
        <f t="shared" si="4"/>
        <v>3.94444411</v>
      </c>
      <c r="E8" s="1">
        <v>6.0</v>
      </c>
      <c r="F8" s="2">
        <f t="shared" si="2"/>
        <v>2.307692308</v>
      </c>
    </row>
    <row r="9">
      <c r="A9" s="2">
        <f>720+360+304</f>
        <v>1384</v>
      </c>
      <c r="B9" s="1">
        <f t="shared" si="3"/>
        <v>156</v>
      </c>
      <c r="C9" s="1">
        <f t="shared" si="1"/>
        <v>24.15535685</v>
      </c>
      <c r="D9" s="1">
        <f t="shared" si="4"/>
        <v>2.722713633</v>
      </c>
      <c r="E9" s="1">
        <v>7.0</v>
      </c>
      <c r="F9" s="2">
        <f t="shared" si="2"/>
        <v>1.682242991</v>
      </c>
    </row>
    <row r="10">
      <c r="A10" s="2">
        <f>1440+158</f>
        <v>1598</v>
      </c>
      <c r="B10" s="1">
        <f t="shared" si="3"/>
        <v>214</v>
      </c>
      <c r="C10" s="1">
        <f t="shared" si="1"/>
        <v>27.89036145</v>
      </c>
      <c r="D10" s="1">
        <f t="shared" si="4"/>
        <v>3.735004599</v>
      </c>
      <c r="E10" s="1">
        <v>8.0</v>
      </c>
      <c r="F10" s="2">
        <f t="shared" si="2"/>
        <v>1.875</v>
      </c>
    </row>
    <row r="11">
      <c r="A11" s="2">
        <f>1440+350</f>
        <v>1790</v>
      </c>
      <c r="B11" s="1">
        <f t="shared" si="3"/>
        <v>192</v>
      </c>
      <c r="C11" s="1">
        <f t="shared" si="1"/>
        <v>31.24139361</v>
      </c>
      <c r="D11" s="1">
        <f t="shared" si="4"/>
        <v>3.351032164</v>
      </c>
      <c r="E11" s="1">
        <v>9.0</v>
      </c>
      <c r="F11" s="2">
        <f t="shared" si="2"/>
        <v>1.682242991</v>
      </c>
    </row>
    <row r="12">
      <c r="A12" s="2">
        <f>1800+204</f>
        <v>2004</v>
      </c>
      <c r="B12" s="1">
        <f t="shared" si="3"/>
        <v>214</v>
      </c>
      <c r="C12" s="1">
        <f t="shared" si="1"/>
        <v>34.97639821</v>
      </c>
      <c r="D12" s="1">
        <f t="shared" si="4"/>
        <v>3.735004599</v>
      </c>
      <c r="E12" s="1">
        <v>10.0</v>
      </c>
      <c r="F12" s="2">
        <f t="shared" si="2"/>
        <v>1.512605042</v>
      </c>
    </row>
    <row r="13">
      <c r="A13" s="2">
        <f>1800+360+82</f>
        <v>2242</v>
      </c>
      <c r="B13" s="1">
        <f t="shared" si="3"/>
        <v>238</v>
      </c>
      <c r="C13" s="1">
        <f t="shared" si="1"/>
        <v>39.13028183</v>
      </c>
      <c r="D13" s="1">
        <f t="shared" si="4"/>
        <v>4.15388362</v>
      </c>
      <c r="E13" s="1">
        <v>11.0</v>
      </c>
      <c r="F13" s="2">
        <f t="shared" si="2"/>
        <v>2.142857143</v>
      </c>
      <c r="J13" s="2">
        <f>AVERAGE(F2:F16)</f>
        <v>2.030073604</v>
      </c>
    </row>
    <row r="14">
      <c r="A14" s="2">
        <f>2160+250</f>
        <v>2410</v>
      </c>
      <c r="B14" s="1">
        <f t="shared" si="3"/>
        <v>168</v>
      </c>
      <c r="C14" s="1">
        <f t="shared" si="1"/>
        <v>42.06243497</v>
      </c>
      <c r="D14" s="1">
        <f t="shared" si="4"/>
        <v>2.932153143</v>
      </c>
      <c r="E14" s="1">
        <v>12.0</v>
      </c>
      <c r="F14" s="2">
        <f t="shared" si="2"/>
        <v>1.565217391</v>
      </c>
      <c r="J14" s="2">
        <f>STDEVA(F2:F17)</f>
        <v>0.5805546043</v>
      </c>
    </row>
    <row r="15">
      <c r="A15" s="2">
        <f>2520+120</f>
        <v>2640</v>
      </c>
      <c r="B15" s="1">
        <f t="shared" si="3"/>
        <v>230</v>
      </c>
      <c r="C15" s="1">
        <f t="shared" si="1"/>
        <v>46.07669225</v>
      </c>
      <c r="D15" s="1">
        <f t="shared" si="4"/>
        <v>4.01425728</v>
      </c>
      <c r="E15" s="1">
        <v>13.0</v>
      </c>
      <c r="F15" s="2">
        <f t="shared" si="2"/>
        <v>2.571428571</v>
      </c>
    </row>
    <row r="16">
      <c r="A16" s="2">
        <f>2520+260</f>
        <v>2780</v>
      </c>
      <c r="B16" s="1">
        <f t="shared" si="3"/>
        <v>140</v>
      </c>
      <c r="C16" s="1">
        <f t="shared" si="1"/>
        <v>48.52015321</v>
      </c>
      <c r="D16" s="1">
        <f t="shared" si="4"/>
        <v>2.443460953</v>
      </c>
      <c r="E16" s="1">
        <v>14.0</v>
      </c>
      <c r="F16" s="2">
        <f t="shared" si="2"/>
        <v>1.487603306</v>
      </c>
    </row>
    <row r="17">
      <c r="A17" s="2">
        <f>2880+142</f>
        <v>3022</v>
      </c>
      <c r="B17" s="1">
        <f t="shared" si="3"/>
        <v>242</v>
      </c>
      <c r="C17" s="1">
        <f t="shared" si="1"/>
        <v>52.74385</v>
      </c>
      <c r="D17" s="1">
        <f t="shared" si="4"/>
        <v>4.22369679</v>
      </c>
      <c r="E17" s="1">
        <v>15.0</v>
      </c>
      <c r="F17" s="2">
        <f t="shared" si="2"/>
        <v>1.786896095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</v>
      </c>
      <c r="C1" s="1" t="s">
        <v>2</v>
      </c>
      <c r="D1" s="1" t="s">
        <v>6</v>
      </c>
      <c r="E1" s="1" t="s">
        <v>3</v>
      </c>
      <c r="F1" s="1" t="s">
        <v>4</v>
      </c>
    </row>
    <row r="2">
      <c r="A2" s="1">
        <v>314.0</v>
      </c>
      <c r="B2" s="1">
        <v>0.0</v>
      </c>
      <c r="C2" s="1">
        <f t="shared" ref="C2:C17" si="1">(A2)*(PI()/180)</f>
        <v>5.480333851</v>
      </c>
      <c r="D2" s="1"/>
      <c r="E2" s="1">
        <v>0.0</v>
      </c>
      <c r="F2" s="2">
        <f t="shared" ref="F2:F17" si="2">2*PI()*(E3-E2)/(C3-C2)</f>
        <v>2.337662338</v>
      </c>
      <c r="G2" s="2">
        <f>2/50</f>
        <v>0.04</v>
      </c>
    </row>
    <row r="3">
      <c r="A3" s="2">
        <f>360+108</f>
        <v>468</v>
      </c>
      <c r="B3" s="1">
        <f t="shared" ref="B3:B17" si="3">A3-A2</f>
        <v>154</v>
      </c>
      <c r="C3" s="1">
        <f t="shared" si="1"/>
        <v>8.168140899</v>
      </c>
      <c r="D3" s="1">
        <f t="shared" ref="D3:D17" si="4">C3-C2</f>
        <v>2.687807048</v>
      </c>
      <c r="E3" s="1">
        <v>1.0</v>
      </c>
      <c r="F3" s="2">
        <f t="shared" si="2"/>
        <v>2.647058824</v>
      </c>
      <c r="G3" s="1">
        <v>49.0</v>
      </c>
      <c r="H3" s="1">
        <v>20.0</v>
      </c>
    </row>
    <row r="4">
      <c r="A4" s="2">
        <f>244+360</f>
        <v>604</v>
      </c>
      <c r="B4" s="1">
        <f t="shared" si="3"/>
        <v>136</v>
      </c>
      <c r="C4" s="1">
        <f t="shared" si="1"/>
        <v>10.54178868</v>
      </c>
      <c r="D4" s="1">
        <f t="shared" si="4"/>
        <v>2.373647783</v>
      </c>
      <c r="E4" s="1">
        <v>2.0</v>
      </c>
      <c r="F4" s="2">
        <f t="shared" si="2"/>
        <v>1.730769231</v>
      </c>
      <c r="G4" s="1" t="s">
        <v>0</v>
      </c>
      <c r="H4" s="1" t="s">
        <v>1</v>
      </c>
    </row>
    <row r="5">
      <c r="A5" s="2">
        <f>720+92</f>
        <v>812</v>
      </c>
      <c r="B5" s="1">
        <f t="shared" si="3"/>
        <v>208</v>
      </c>
      <c r="C5" s="1">
        <f t="shared" si="1"/>
        <v>14.17207353</v>
      </c>
      <c r="D5" s="1">
        <f t="shared" si="4"/>
        <v>3.630284844</v>
      </c>
      <c r="E5" s="1">
        <v>3.0</v>
      </c>
      <c r="F5" s="2">
        <f t="shared" si="2"/>
        <v>2.857142857</v>
      </c>
    </row>
    <row r="6">
      <c r="A6" s="2">
        <f>218+720</f>
        <v>938</v>
      </c>
      <c r="B6" s="1">
        <f t="shared" si="3"/>
        <v>126</v>
      </c>
      <c r="C6" s="1">
        <f t="shared" si="1"/>
        <v>16.37118838</v>
      </c>
      <c r="D6" s="1">
        <f t="shared" si="4"/>
        <v>2.199114858</v>
      </c>
      <c r="E6" s="1">
        <v>4.0</v>
      </c>
      <c r="F6" s="2">
        <f t="shared" si="2"/>
        <v>1.714285714</v>
      </c>
    </row>
    <row r="7">
      <c r="A7" s="2">
        <f>720+360+68</f>
        <v>1148</v>
      </c>
      <c r="B7" s="1">
        <f t="shared" si="3"/>
        <v>210</v>
      </c>
      <c r="C7" s="1">
        <f t="shared" si="1"/>
        <v>20.03637981</v>
      </c>
      <c r="D7" s="1">
        <f t="shared" si="4"/>
        <v>3.665191429</v>
      </c>
      <c r="E7" s="1">
        <v>5.0</v>
      </c>
      <c r="F7" s="2">
        <f t="shared" si="2"/>
        <v>2.727272727</v>
      </c>
    </row>
    <row r="8">
      <c r="A8" s="2">
        <f>1080+200</f>
        <v>1280</v>
      </c>
      <c r="B8" s="1">
        <f t="shared" si="3"/>
        <v>132</v>
      </c>
      <c r="C8" s="1">
        <f t="shared" si="1"/>
        <v>22.34021443</v>
      </c>
      <c r="D8" s="1">
        <f t="shared" si="4"/>
        <v>2.303834613</v>
      </c>
      <c r="E8" s="1">
        <v>6.0</v>
      </c>
      <c r="F8" s="2">
        <f t="shared" si="2"/>
        <v>1.956521739</v>
      </c>
    </row>
    <row r="9">
      <c r="A9" s="2">
        <f>1420+44</f>
        <v>1464</v>
      </c>
      <c r="B9" s="1">
        <f t="shared" si="3"/>
        <v>184</v>
      </c>
      <c r="C9" s="1">
        <f t="shared" si="1"/>
        <v>25.55162025</v>
      </c>
      <c r="D9" s="1">
        <f t="shared" si="4"/>
        <v>3.211405824</v>
      </c>
      <c r="E9" s="1">
        <v>7.0</v>
      </c>
      <c r="F9" s="2">
        <f t="shared" si="2"/>
        <v>2.168674699</v>
      </c>
    </row>
    <row r="10">
      <c r="A10" s="2">
        <f>1420+210</f>
        <v>1630</v>
      </c>
      <c r="B10" s="1">
        <f t="shared" si="3"/>
        <v>166</v>
      </c>
      <c r="C10" s="1">
        <f t="shared" si="1"/>
        <v>28.44886681</v>
      </c>
      <c r="D10" s="1">
        <f t="shared" si="4"/>
        <v>2.897246558</v>
      </c>
      <c r="E10" s="1">
        <v>8.0</v>
      </c>
      <c r="F10" s="2">
        <f t="shared" si="2"/>
        <v>1.764705882</v>
      </c>
    </row>
    <row r="11">
      <c r="A11" s="2">
        <f>1420+360+54</f>
        <v>1834</v>
      </c>
      <c r="B11" s="1">
        <f t="shared" si="3"/>
        <v>204</v>
      </c>
      <c r="C11" s="1">
        <f t="shared" si="1"/>
        <v>32.00933848</v>
      </c>
      <c r="D11" s="1">
        <f t="shared" si="4"/>
        <v>3.560471674</v>
      </c>
      <c r="E11" s="1">
        <v>9.0</v>
      </c>
      <c r="F11" s="2">
        <f t="shared" si="2"/>
        <v>-2.117647059</v>
      </c>
    </row>
    <row r="12">
      <c r="A12" s="2">
        <f>1420+244</f>
        <v>1664</v>
      </c>
      <c r="B12" s="1">
        <f t="shared" si="3"/>
        <v>-170</v>
      </c>
      <c r="C12" s="1">
        <f t="shared" si="1"/>
        <v>29.04227875</v>
      </c>
      <c r="D12" s="1">
        <f t="shared" si="4"/>
        <v>-2.967059728</v>
      </c>
      <c r="E12" s="1">
        <v>10.0</v>
      </c>
      <c r="F12" s="2">
        <f t="shared" si="2"/>
        <v>0.6228373702</v>
      </c>
    </row>
    <row r="13">
      <c r="A13" s="2">
        <f>1420+720+102</f>
        <v>2242</v>
      </c>
      <c r="B13" s="1">
        <f t="shared" si="3"/>
        <v>578</v>
      </c>
      <c r="C13" s="1">
        <f t="shared" si="1"/>
        <v>39.13028183</v>
      </c>
      <c r="D13" s="1">
        <f t="shared" si="4"/>
        <v>10.08800308</v>
      </c>
      <c r="E13" s="1">
        <v>11.0</v>
      </c>
      <c r="F13" s="2">
        <f t="shared" si="2"/>
        <v>2.117647059</v>
      </c>
      <c r="J13" s="2">
        <f>AVERAGE(F2:F16)</f>
        <v>1.834617903</v>
      </c>
    </row>
    <row r="14">
      <c r="A14" s="2">
        <f>2140+272</f>
        <v>2412</v>
      </c>
      <c r="B14" s="1">
        <f t="shared" si="3"/>
        <v>170</v>
      </c>
      <c r="C14" s="1">
        <f t="shared" si="1"/>
        <v>42.09734156</v>
      </c>
      <c r="D14" s="1">
        <f t="shared" si="4"/>
        <v>2.967059728</v>
      </c>
      <c r="E14" s="1">
        <v>12.0</v>
      </c>
      <c r="F14" s="2">
        <f t="shared" si="2"/>
        <v>1.666666667</v>
      </c>
      <c r="J14" s="2">
        <f>STDEVA(F2:F17)</f>
        <v>1.20747461</v>
      </c>
    </row>
    <row r="15">
      <c r="A15" s="2">
        <f>2140+360+128</f>
        <v>2628</v>
      </c>
      <c r="B15" s="1">
        <f t="shared" si="3"/>
        <v>216</v>
      </c>
      <c r="C15" s="1">
        <f t="shared" si="1"/>
        <v>45.86725274</v>
      </c>
      <c r="D15" s="1">
        <f t="shared" si="4"/>
        <v>3.769911184</v>
      </c>
      <c r="E15" s="1">
        <v>13.0</v>
      </c>
      <c r="F15" s="2">
        <f t="shared" si="2"/>
        <v>3.103448276</v>
      </c>
    </row>
    <row r="16">
      <c r="A16" s="2">
        <f>2140+360+244</f>
        <v>2744</v>
      </c>
      <c r="B16" s="1">
        <f t="shared" si="3"/>
        <v>116</v>
      </c>
      <c r="C16" s="1">
        <f t="shared" si="1"/>
        <v>47.89183467</v>
      </c>
      <c r="D16" s="1">
        <f t="shared" si="4"/>
        <v>2.024581932</v>
      </c>
      <c r="E16" s="1">
        <v>14.0</v>
      </c>
      <c r="F16" s="2">
        <f t="shared" si="2"/>
        <v>2.222222222</v>
      </c>
    </row>
    <row r="17">
      <c r="A17" s="2">
        <f>2140+720+46</f>
        <v>2906</v>
      </c>
      <c r="B17" s="1">
        <f t="shared" si="3"/>
        <v>162</v>
      </c>
      <c r="C17" s="1">
        <f t="shared" si="1"/>
        <v>50.71926806</v>
      </c>
      <c r="D17" s="1">
        <f t="shared" si="4"/>
        <v>2.827433388</v>
      </c>
      <c r="E17" s="1">
        <v>15.0</v>
      </c>
      <c r="F17" s="2">
        <f t="shared" si="2"/>
        <v>1.858224363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</v>
      </c>
      <c r="C1" s="1" t="s">
        <v>2</v>
      </c>
      <c r="D1" s="1" t="s">
        <v>6</v>
      </c>
      <c r="E1" s="1" t="s">
        <v>3</v>
      </c>
      <c r="F1" s="1" t="s">
        <v>4</v>
      </c>
    </row>
    <row r="2">
      <c r="A2" s="1">
        <v>296.0</v>
      </c>
      <c r="B2" s="1">
        <v>0.0</v>
      </c>
      <c r="C2" s="1">
        <f t="shared" ref="C2:C17" si="1">(A2)*(PI()/180)</f>
        <v>5.166174586</v>
      </c>
      <c r="D2" s="1"/>
      <c r="E2" s="1">
        <v>0.0</v>
      </c>
      <c r="F2" s="2">
        <f t="shared" ref="F2:F17" si="2">2*PI()*(E3-E2)/(C3-C2)</f>
        <v>1.8</v>
      </c>
      <c r="G2" s="2">
        <f>2/50</f>
        <v>0.04</v>
      </c>
    </row>
    <row r="3">
      <c r="A3" s="2">
        <f>360+136</f>
        <v>496</v>
      </c>
      <c r="B3" s="1">
        <f t="shared" ref="B3:B17" si="3">A3-A2</f>
        <v>200</v>
      </c>
      <c r="C3" s="1">
        <f t="shared" si="1"/>
        <v>8.65683309</v>
      </c>
      <c r="D3" s="1">
        <f t="shared" ref="D3:D17" si="4">C3-C2</f>
        <v>3.490658504</v>
      </c>
      <c r="E3" s="1">
        <v>1.0</v>
      </c>
      <c r="F3" s="2">
        <f t="shared" si="2"/>
        <v>2.195121951</v>
      </c>
      <c r="G3" s="1">
        <v>49.0</v>
      </c>
      <c r="H3" s="1">
        <v>20.0</v>
      </c>
    </row>
    <row r="4">
      <c r="A4" s="2">
        <f>360+300</f>
        <v>660</v>
      </c>
      <c r="B4" s="1">
        <f t="shared" si="3"/>
        <v>164</v>
      </c>
      <c r="C4" s="1">
        <f t="shared" si="1"/>
        <v>11.51917306</v>
      </c>
      <c r="D4" s="1">
        <f t="shared" si="4"/>
        <v>2.862339973</v>
      </c>
      <c r="E4" s="1">
        <v>2.0</v>
      </c>
      <c r="F4" s="2">
        <f t="shared" si="2"/>
        <v>2.368421053</v>
      </c>
      <c r="G4" s="1" t="s">
        <v>0</v>
      </c>
      <c r="H4" s="1" t="s">
        <v>1</v>
      </c>
    </row>
    <row r="5">
      <c r="A5" s="2">
        <f>720+92</f>
        <v>812</v>
      </c>
      <c r="B5" s="1">
        <f t="shared" si="3"/>
        <v>152</v>
      </c>
      <c r="C5" s="1">
        <f t="shared" si="1"/>
        <v>14.17207353</v>
      </c>
      <c r="D5" s="1">
        <f t="shared" si="4"/>
        <v>2.652900463</v>
      </c>
      <c r="E5" s="1">
        <v>3.0</v>
      </c>
      <c r="F5" s="2">
        <f t="shared" si="2"/>
        <v>2.168674699</v>
      </c>
    </row>
    <row r="6">
      <c r="A6" s="2">
        <f>720+258</f>
        <v>978</v>
      </c>
      <c r="B6" s="1">
        <f t="shared" si="3"/>
        <v>166</v>
      </c>
      <c r="C6" s="1">
        <f t="shared" si="1"/>
        <v>17.06932008</v>
      </c>
      <c r="D6" s="1">
        <f t="shared" si="4"/>
        <v>2.897246558</v>
      </c>
      <c r="E6" s="1">
        <v>4.0</v>
      </c>
      <c r="F6" s="2">
        <f t="shared" si="2"/>
        <v>1.818181818</v>
      </c>
    </row>
    <row r="7">
      <c r="A7" s="2">
        <f>360+720+96</f>
        <v>1176</v>
      </c>
      <c r="B7" s="1">
        <f t="shared" si="3"/>
        <v>198</v>
      </c>
      <c r="C7" s="1">
        <f t="shared" si="1"/>
        <v>20.525072</v>
      </c>
      <c r="D7" s="1">
        <f t="shared" si="4"/>
        <v>3.455751919</v>
      </c>
      <c r="E7" s="1">
        <v>5.0</v>
      </c>
      <c r="F7" s="2">
        <f t="shared" si="2"/>
        <v>2.727272727</v>
      </c>
    </row>
    <row r="8">
      <c r="A8" s="2">
        <f>360+720+228</f>
        <v>1308</v>
      </c>
      <c r="B8" s="1">
        <f t="shared" si="3"/>
        <v>132</v>
      </c>
      <c r="C8" s="1">
        <f t="shared" si="1"/>
        <v>22.82890662</v>
      </c>
      <c r="D8" s="1">
        <f t="shared" si="4"/>
        <v>2.303834613</v>
      </c>
      <c r="E8" s="1">
        <v>6.0</v>
      </c>
      <c r="F8" s="2">
        <f t="shared" si="2"/>
        <v>2.045454545</v>
      </c>
    </row>
    <row r="9">
      <c r="A9" s="2">
        <f>360+720+360+44</f>
        <v>1484</v>
      </c>
      <c r="B9" s="1">
        <f t="shared" si="3"/>
        <v>176</v>
      </c>
      <c r="C9" s="1">
        <f t="shared" si="1"/>
        <v>25.9006861</v>
      </c>
      <c r="D9" s="1">
        <f t="shared" si="4"/>
        <v>3.071779484</v>
      </c>
      <c r="E9" s="1">
        <v>7.0</v>
      </c>
      <c r="F9" s="2">
        <f t="shared" si="2"/>
        <v>2.117647059</v>
      </c>
    </row>
    <row r="10">
      <c r="A10" s="2">
        <f>FLOOR(A9/360,1)*360 + 214</f>
        <v>1654</v>
      </c>
      <c r="B10" s="1">
        <f t="shared" si="3"/>
        <v>170</v>
      </c>
      <c r="C10" s="1">
        <f t="shared" si="1"/>
        <v>28.86774583</v>
      </c>
      <c r="D10" s="1">
        <f t="shared" si="4"/>
        <v>2.967059728</v>
      </c>
      <c r="E10" s="1">
        <v>8.0</v>
      </c>
      <c r="F10" s="2">
        <f t="shared" si="2"/>
        <v>2.903225806</v>
      </c>
    </row>
    <row r="11">
      <c r="A11" s="2">
        <f>720+720+338</f>
        <v>1778</v>
      </c>
      <c r="B11" s="1">
        <f t="shared" si="3"/>
        <v>124</v>
      </c>
      <c r="C11" s="1">
        <f t="shared" si="1"/>
        <v>31.0319541</v>
      </c>
      <c r="D11" s="1">
        <f t="shared" si="4"/>
        <v>2.164208272</v>
      </c>
      <c r="E11" s="1">
        <v>9.0</v>
      </c>
      <c r="F11" s="2">
        <f t="shared" si="2"/>
        <v>1.44</v>
      </c>
      <c r="N11" s="2">
        <f>1130+100+110+100+20+110+40+110+20+10</f>
        <v>1750</v>
      </c>
    </row>
    <row r="12">
      <c r="A12" s="2">
        <f>720+720+360+228</f>
        <v>2028</v>
      </c>
      <c r="B12" s="1">
        <f t="shared" si="3"/>
        <v>250</v>
      </c>
      <c r="C12" s="1">
        <f t="shared" si="1"/>
        <v>35.39527723</v>
      </c>
      <c r="D12" s="1">
        <f t="shared" si="4"/>
        <v>4.36332313</v>
      </c>
      <c r="E12" s="1">
        <v>10.0</v>
      </c>
      <c r="F12" s="2">
        <f t="shared" si="2"/>
        <v>3.529411765</v>
      </c>
    </row>
    <row r="13">
      <c r="A13" s="2">
        <f>720+720+360+330</f>
        <v>2130</v>
      </c>
      <c r="B13" s="1">
        <f t="shared" si="3"/>
        <v>102</v>
      </c>
      <c r="C13" s="1">
        <f t="shared" si="1"/>
        <v>37.17551307</v>
      </c>
      <c r="D13" s="1">
        <f t="shared" si="4"/>
        <v>1.780235837</v>
      </c>
      <c r="E13" s="1">
        <v>11.0</v>
      </c>
      <c r="F13" s="2">
        <f t="shared" si="2"/>
        <v>3.050847458</v>
      </c>
      <c r="J13" s="2">
        <f>AVERAGE(F2:F16)</f>
        <v>2.362281769</v>
      </c>
    </row>
    <row r="14">
      <c r="A14" s="2">
        <f>720*3 + 88</f>
        <v>2248</v>
      </c>
      <c r="B14" s="1">
        <f t="shared" si="3"/>
        <v>118</v>
      </c>
      <c r="C14" s="1">
        <f t="shared" si="1"/>
        <v>39.23500158</v>
      </c>
      <c r="D14" s="1">
        <f t="shared" si="4"/>
        <v>2.059488517</v>
      </c>
      <c r="E14" s="1">
        <v>12.0</v>
      </c>
      <c r="F14" s="2">
        <f t="shared" si="2"/>
        <v>2.117647059</v>
      </c>
      <c r="J14" s="2">
        <f>STDEVA(F2:F17)</f>
        <v>0.532190831</v>
      </c>
    </row>
    <row r="15">
      <c r="A15" s="2">
        <f>720+720+720+258</f>
        <v>2418</v>
      </c>
      <c r="B15" s="1">
        <f t="shared" si="3"/>
        <v>170</v>
      </c>
      <c r="C15" s="1">
        <f t="shared" si="1"/>
        <v>42.20206131</v>
      </c>
      <c r="D15" s="1">
        <f t="shared" si="4"/>
        <v>2.967059728</v>
      </c>
      <c r="E15" s="1">
        <v>13.0</v>
      </c>
      <c r="F15" s="2">
        <f t="shared" si="2"/>
        <v>2.465753425</v>
      </c>
    </row>
    <row r="16">
      <c r="A16" s="2">
        <f>360*7 + 44</f>
        <v>2564</v>
      </c>
      <c r="B16" s="1">
        <f t="shared" si="3"/>
        <v>146</v>
      </c>
      <c r="C16" s="1">
        <f t="shared" si="1"/>
        <v>44.75024202</v>
      </c>
      <c r="D16" s="1">
        <f t="shared" si="4"/>
        <v>2.548180708</v>
      </c>
      <c r="E16" s="1">
        <v>14.0</v>
      </c>
      <c r="F16" s="2">
        <f t="shared" si="2"/>
        <v>2.686567164</v>
      </c>
    </row>
    <row r="17">
      <c r="A17" s="2">
        <f>360*7 + 178</f>
        <v>2698</v>
      </c>
      <c r="B17" s="1">
        <f t="shared" si="3"/>
        <v>134</v>
      </c>
      <c r="C17" s="1">
        <f t="shared" si="1"/>
        <v>47.08898322</v>
      </c>
      <c r="D17" s="1">
        <f t="shared" si="4"/>
        <v>2.338741198</v>
      </c>
      <c r="E17" s="1">
        <v>15.0</v>
      </c>
      <c r="F17" s="2">
        <f t="shared" si="2"/>
        <v>2.00148258</v>
      </c>
    </row>
  </sheetData>
  <drawing r:id="rId1"/>
</worksheet>
</file>