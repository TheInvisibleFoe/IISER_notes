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<sst xmlns="http://schemas.openxmlformats.org/spreadsheetml/2006/main" count="28" uniqueCount="12">
  <si>
    <t>Set 1</t>
  </si>
  <si>
    <t>Pressure</t>
  </si>
  <si>
    <t>Fringe Shift</t>
  </si>
  <si>
    <t>Slope</t>
  </si>
  <si>
    <t>tube length</t>
  </si>
  <si>
    <t>Pressure Units</t>
  </si>
  <si>
    <t>mm of Hg</t>
  </si>
  <si>
    <t>Avg</t>
  </si>
  <si>
    <t>Set 2</t>
  </si>
  <si>
    <t>Set 3</t>
  </si>
  <si>
    <t>Set 4</t>
  </si>
  <si>
    <t>Set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</si>
</sst>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Fringe Shift vs. Pressure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Sheet1!$A$3:$A$16</c:f>
            </c:numRef>
          </c:xVal>
          <c:yVal>
            <c:numRef>
              <c:f>Sheet1!$B$3:$B$16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104860"/>
        <c:axId val="1863439708"/>
      </c:scatterChart>
      <c:valAx>
        <c:axId val="11031048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Pressure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3439708"/>
      </c:valAx>
      <c:valAx>
        <c:axId val="18634397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Fringe Shift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31048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Sheet1!$B$18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Sheet1!$A$19:$A$31</c:f>
            </c:numRef>
          </c:xVal>
          <c:yVal>
            <c:numRef>
              <c:f>Sheet1!$B$19:$B$31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234783"/>
        <c:axId val="1027661031"/>
      </c:scatterChart>
      <c:valAx>
        <c:axId val="4672347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Pressure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7661031"/>
      </c:valAx>
      <c:valAx>
        <c:axId val="1027661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Fringe Shift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7234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76200</xdr:colOff>
      <xdr:row>2</xdr:row>
      <xdr:rowOff>142875</xdr:rowOff>
    </xdr:from>
    <xdr:ext cx="6105525" cy="3781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76200</xdr:colOff>
      <xdr:row>23</xdr:row>
      <xdr:rowOff>28575</xdr:rowOff>
    </xdr:from>
    <xdr:ext cx="6057900" cy="3743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/>
      <c r="E1" s="2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4"/>
      <c r="F2" s="3" t="s">
        <v>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6.0</v>
      </c>
      <c r="B3" s="5">
        <v>0.0</v>
      </c>
      <c r="C3" s="6">
        <f t="shared" ref="C3:C14" si="1">A4-A3</f>
        <v>24</v>
      </c>
      <c r="D3" s="5">
        <v>0.03</v>
      </c>
      <c r="F3" s="5" t="s">
        <v>6</v>
      </c>
    </row>
    <row r="4">
      <c r="A4" s="5">
        <v>30.0</v>
      </c>
      <c r="B4" s="5">
        <v>1.0</v>
      </c>
      <c r="C4" s="6">
        <f t="shared" si="1"/>
        <v>20</v>
      </c>
    </row>
    <row r="5">
      <c r="A5" s="5">
        <v>50.0</v>
      </c>
      <c r="B5" s="5">
        <v>2.0</v>
      </c>
      <c r="C5" s="6">
        <f t="shared" si="1"/>
        <v>26</v>
      </c>
    </row>
    <row r="6">
      <c r="A6" s="5">
        <v>76.0</v>
      </c>
      <c r="B6" s="5">
        <v>3.0</v>
      </c>
      <c r="C6" s="6">
        <f t="shared" si="1"/>
        <v>24</v>
      </c>
    </row>
    <row r="7">
      <c r="A7" s="5">
        <v>100.0</v>
      </c>
      <c r="B7" s="5">
        <v>4.0</v>
      </c>
      <c r="C7" s="6">
        <f t="shared" si="1"/>
        <v>24</v>
      </c>
    </row>
    <row r="8">
      <c r="A8" s="5">
        <v>124.0</v>
      </c>
      <c r="B8" s="5">
        <v>5.0</v>
      </c>
      <c r="C8" s="6">
        <f t="shared" si="1"/>
        <v>26</v>
      </c>
    </row>
    <row r="9">
      <c r="A9" s="5">
        <v>150.0</v>
      </c>
      <c r="B9" s="5">
        <v>6.0</v>
      </c>
      <c r="C9" s="6">
        <f t="shared" si="1"/>
        <v>22</v>
      </c>
    </row>
    <row r="10">
      <c r="A10" s="5">
        <v>172.0</v>
      </c>
      <c r="B10" s="5">
        <v>7.0</v>
      </c>
      <c r="C10" s="6">
        <f t="shared" si="1"/>
        <v>18</v>
      </c>
    </row>
    <row r="11">
      <c r="A11" s="5">
        <v>190.0</v>
      </c>
      <c r="B11" s="5">
        <v>8.0</v>
      </c>
      <c r="C11" s="6">
        <f t="shared" si="1"/>
        <v>24</v>
      </c>
    </row>
    <row r="12">
      <c r="A12" s="5">
        <v>214.0</v>
      </c>
      <c r="B12" s="5">
        <v>9.0</v>
      </c>
      <c r="C12" s="6">
        <f t="shared" si="1"/>
        <v>24</v>
      </c>
    </row>
    <row r="13">
      <c r="A13" s="5">
        <v>238.0</v>
      </c>
      <c r="B13" s="5">
        <v>10.0</v>
      </c>
      <c r="C13" s="6">
        <f t="shared" si="1"/>
        <v>28</v>
      </c>
    </row>
    <row r="14">
      <c r="A14" s="5">
        <v>266.0</v>
      </c>
      <c r="B14" s="5">
        <v>11.0</v>
      </c>
      <c r="C14" s="6">
        <f t="shared" si="1"/>
        <v>24</v>
      </c>
    </row>
    <row r="15">
      <c r="A15" s="5">
        <v>290.0</v>
      </c>
      <c r="B15" s="5">
        <v>12.0</v>
      </c>
    </row>
    <row r="16">
      <c r="B16" s="3" t="s">
        <v>7</v>
      </c>
      <c r="C16" s="6">
        <f>AVERAGE(C3:C15)</f>
        <v>23.66666667</v>
      </c>
      <c r="D16" s="6">
        <f>1/C16</f>
        <v>0.04225352113</v>
      </c>
    </row>
    <row r="17">
      <c r="A17" s="1" t="s">
        <v>8</v>
      </c>
    </row>
    <row r="18">
      <c r="A18" s="3" t="s">
        <v>1</v>
      </c>
      <c r="B18" s="3" t="s">
        <v>2</v>
      </c>
      <c r="C18" s="3" t="s">
        <v>3</v>
      </c>
    </row>
    <row r="19">
      <c r="A19" s="5">
        <v>8.0</v>
      </c>
      <c r="B19" s="5">
        <v>0.0</v>
      </c>
      <c r="C19" s="6">
        <f t="shared" ref="C19:C29" si="2">A20-A19</f>
        <v>22</v>
      </c>
    </row>
    <row r="20">
      <c r="A20" s="5">
        <v>30.0</v>
      </c>
      <c r="B20" s="5">
        <v>1.0</v>
      </c>
      <c r="C20" s="6">
        <f t="shared" si="2"/>
        <v>22</v>
      </c>
    </row>
    <row r="21">
      <c r="A21" s="5">
        <v>52.0</v>
      </c>
      <c r="B21" s="5">
        <v>2.0</v>
      </c>
      <c r="C21" s="6">
        <f t="shared" si="2"/>
        <v>24</v>
      </c>
    </row>
    <row r="22">
      <c r="A22" s="5">
        <v>76.0</v>
      </c>
      <c r="B22" s="5">
        <v>3.0</v>
      </c>
      <c r="C22" s="6">
        <f t="shared" si="2"/>
        <v>30</v>
      </c>
    </row>
    <row r="23">
      <c r="A23" s="5">
        <v>106.0</v>
      </c>
      <c r="B23" s="5">
        <v>4.0</v>
      </c>
      <c r="C23" s="6">
        <f t="shared" si="2"/>
        <v>22</v>
      </c>
    </row>
    <row r="24">
      <c r="A24" s="5">
        <v>128.0</v>
      </c>
      <c r="B24" s="5">
        <v>5.0</v>
      </c>
      <c r="C24" s="6">
        <f t="shared" si="2"/>
        <v>26</v>
      </c>
    </row>
    <row r="25">
      <c r="A25" s="5">
        <v>154.0</v>
      </c>
      <c r="B25" s="5">
        <v>6.0</v>
      </c>
      <c r="C25" s="6">
        <f t="shared" si="2"/>
        <v>24</v>
      </c>
    </row>
    <row r="26">
      <c r="A26" s="5">
        <v>178.0</v>
      </c>
      <c r="B26" s="5">
        <v>7.0</v>
      </c>
      <c r="C26" s="6">
        <f t="shared" si="2"/>
        <v>24</v>
      </c>
    </row>
    <row r="27">
      <c r="A27" s="5">
        <v>202.0</v>
      </c>
      <c r="B27" s="5">
        <v>8.0</v>
      </c>
      <c r="C27" s="6">
        <f t="shared" si="2"/>
        <v>20</v>
      </c>
    </row>
    <row r="28">
      <c r="A28" s="5">
        <v>222.0</v>
      </c>
      <c r="B28" s="5">
        <v>9.0</v>
      </c>
      <c r="C28" s="6">
        <f t="shared" si="2"/>
        <v>30</v>
      </c>
    </row>
    <row r="29">
      <c r="A29" s="5">
        <v>252.0</v>
      </c>
      <c r="B29" s="5">
        <v>10.0</v>
      </c>
      <c r="C29" s="6">
        <f t="shared" si="2"/>
        <v>20</v>
      </c>
    </row>
    <row r="30">
      <c r="A30" s="5">
        <v>272.0</v>
      </c>
      <c r="B30" s="5">
        <v>11.0</v>
      </c>
    </row>
    <row r="31">
      <c r="B31" s="3" t="s">
        <v>7</v>
      </c>
      <c r="C31" s="6">
        <f>AVERAGE(C18:C30)</f>
        <v>24</v>
      </c>
      <c r="D31" s="6">
        <f>1/C31</f>
        <v>0.04166666667</v>
      </c>
    </row>
    <row r="33">
      <c r="A33" s="1" t="s">
        <v>9</v>
      </c>
    </row>
    <row r="34">
      <c r="A34" s="3" t="s">
        <v>1</v>
      </c>
      <c r="B34" s="3" t="s">
        <v>2</v>
      </c>
      <c r="C34" s="3" t="s">
        <v>3</v>
      </c>
    </row>
    <row r="35">
      <c r="A35" s="5">
        <v>6.0</v>
      </c>
      <c r="B35" s="5">
        <v>0.0</v>
      </c>
      <c r="C35" s="6">
        <f t="shared" ref="C35:C45" si="3">A36-A35</f>
        <v>26</v>
      </c>
    </row>
    <row r="36">
      <c r="A36" s="5">
        <v>32.0</v>
      </c>
      <c r="B36" s="5">
        <v>1.0</v>
      </c>
      <c r="C36" s="6">
        <f t="shared" si="3"/>
        <v>26</v>
      </c>
    </row>
    <row r="37">
      <c r="A37" s="5">
        <v>58.0</v>
      </c>
      <c r="B37" s="5">
        <v>2.0</v>
      </c>
      <c r="C37" s="6">
        <f t="shared" si="3"/>
        <v>26</v>
      </c>
    </row>
    <row r="38">
      <c r="A38" s="5">
        <v>84.0</v>
      </c>
      <c r="B38" s="5">
        <v>3.0</v>
      </c>
      <c r="C38" s="6">
        <f t="shared" si="3"/>
        <v>26</v>
      </c>
    </row>
    <row r="39">
      <c r="A39" s="5">
        <v>110.0</v>
      </c>
      <c r="B39" s="5">
        <v>4.0</v>
      </c>
      <c r="C39" s="6">
        <f t="shared" si="3"/>
        <v>22</v>
      </c>
    </row>
    <row r="40">
      <c r="A40" s="5">
        <v>132.0</v>
      </c>
      <c r="B40" s="5">
        <v>5.0</v>
      </c>
      <c r="C40" s="6">
        <f t="shared" si="3"/>
        <v>24</v>
      </c>
    </row>
    <row r="41">
      <c r="A41" s="5">
        <v>156.0</v>
      </c>
      <c r="B41" s="5">
        <v>6.0</v>
      </c>
      <c r="C41" s="6">
        <f t="shared" si="3"/>
        <v>28</v>
      </c>
    </row>
    <row r="42">
      <c r="A42" s="5">
        <v>184.0</v>
      </c>
      <c r="B42" s="5">
        <v>7.0</v>
      </c>
      <c r="C42" s="6">
        <f t="shared" si="3"/>
        <v>24</v>
      </c>
    </row>
    <row r="43">
      <c r="A43" s="5">
        <v>208.0</v>
      </c>
      <c r="B43" s="5">
        <v>8.0</v>
      </c>
      <c r="C43" s="6">
        <f t="shared" si="3"/>
        <v>24</v>
      </c>
    </row>
    <row r="44">
      <c r="A44" s="5">
        <v>232.0</v>
      </c>
      <c r="B44" s="5">
        <v>9.0</v>
      </c>
      <c r="C44" s="6">
        <f t="shared" si="3"/>
        <v>26</v>
      </c>
    </row>
    <row r="45">
      <c r="A45" s="5">
        <v>258.0</v>
      </c>
      <c r="B45" s="5">
        <v>10.0</v>
      </c>
      <c r="C45" s="6">
        <f t="shared" si="3"/>
        <v>32</v>
      </c>
    </row>
    <row r="46">
      <c r="A46" s="5">
        <v>290.0</v>
      </c>
      <c r="B46" s="5">
        <v>11.0</v>
      </c>
    </row>
    <row r="47">
      <c r="B47" s="3" t="s">
        <v>7</v>
      </c>
      <c r="C47" s="6">
        <f>AVERAGE(C34:C46)</f>
        <v>25.81818182</v>
      </c>
      <c r="D47" s="6">
        <f>1/C47</f>
        <v>0.03873239437</v>
      </c>
    </row>
    <row r="48">
      <c r="A48" s="1" t="s">
        <v>10</v>
      </c>
    </row>
    <row r="49">
      <c r="A49" s="3" t="s">
        <v>1</v>
      </c>
      <c r="B49" s="3" t="s">
        <v>2</v>
      </c>
      <c r="C49" s="3" t="s">
        <v>3</v>
      </c>
    </row>
    <row r="50">
      <c r="A50" s="5">
        <v>6.0</v>
      </c>
      <c r="B50" s="5">
        <v>0.0</v>
      </c>
      <c r="C50" s="6">
        <f t="shared" ref="C50:C60" si="4">A51-A50</f>
        <v>28</v>
      </c>
    </row>
    <row r="51">
      <c r="A51" s="5">
        <v>34.0</v>
      </c>
      <c r="B51" s="5">
        <v>1.0</v>
      </c>
      <c r="C51" s="6">
        <f t="shared" si="4"/>
        <v>26</v>
      </c>
    </row>
    <row r="52">
      <c r="A52" s="5">
        <v>60.0</v>
      </c>
      <c r="B52" s="5">
        <v>2.0</v>
      </c>
      <c r="C52" s="6">
        <f t="shared" si="4"/>
        <v>24</v>
      </c>
    </row>
    <row r="53">
      <c r="A53" s="5">
        <v>84.0</v>
      </c>
      <c r="B53" s="5">
        <v>3.0</v>
      </c>
      <c r="C53" s="6">
        <f t="shared" si="4"/>
        <v>30</v>
      </c>
    </row>
    <row r="54">
      <c r="A54" s="5">
        <v>114.0</v>
      </c>
      <c r="B54" s="5">
        <v>4.0</v>
      </c>
      <c r="C54" s="6">
        <f t="shared" si="4"/>
        <v>16</v>
      </c>
    </row>
    <row r="55">
      <c r="A55" s="5">
        <v>130.0</v>
      </c>
      <c r="B55" s="5">
        <v>5.0</v>
      </c>
      <c r="C55" s="6">
        <f t="shared" si="4"/>
        <v>32</v>
      </c>
    </row>
    <row r="56">
      <c r="A56" s="5">
        <v>162.0</v>
      </c>
      <c r="B56" s="5">
        <v>6.0</v>
      </c>
      <c r="C56" s="6">
        <f t="shared" si="4"/>
        <v>22</v>
      </c>
    </row>
    <row r="57">
      <c r="A57" s="5">
        <v>184.0</v>
      </c>
      <c r="B57" s="5">
        <v>7.0</v>
      </c>
      <c r="C57" s="6">
        <f t="shared" si="4"/>
        <v>22</v>
      </c>
    </row>
    <row r="58">
      <c r="A58" s="5">
        <v>206.0</v>
      </c>
      <c r="B58" s="5">
        <v>8.0</v>
      </c>
      <c r="C58" s="6">
        <f t="shared" si="4"/>
        <v>26</v>
      </c>
    </row>
    <row r="59">
      <c r="A59" s="5">
        <v>232.0</v>
      </c>
      <c r="B59" s="5">
        <v>9.0</v>
      </c>
      <c r="C59" s="6">
        <f t="shared" si="4"/>
        <v>34</v>
      </c>
    </row>
    <row r="60">
      <c r="A60" s="5">
        <v>266.0</v>
      </c>
      <c r="B60" s="5">
        <v>10.0</v>
      </c>
      <c r="C60" s="6">
        <f t="shared" si="4"/>
        <v>24</v>
      </c>
    </row>
    <row r="61">
      <c r="A61" s="5">
        <v>290.0</v>
      </c>
      <c r="B61" s="5">
        <v>11.0</v>
      </c>
    </row>
    <row r="62">
      <c r="B62" s="3" t="s">
        <v>7</v>
      </c>
      <c r="C62" s="6">
        <f>AVERAGE(C49:C61)</f>
        <v>25.81818182</v>
      </c>
      <c r="D62" s="6">
        <f>1/C62</f>
        <v>0.03873239437</v>
      </c>
    </row>
    <row r="63">
      <c r="A63" s="1" t="s">
        <v>11</v>
      </c>
    </row>
    <row r="64">
      <c r="A64" s="3" t="s">
        <v>1</v>
      </c>
      <c r="B64" s="3" t="s">
        <v>2</v>
      </c>
      <c r="C64" s="3" t="s">
        <v>3</v>
      </c>
    </row>
    <row r="65">
      <c r="A65" s="5">
        <v>6.0</v>
      </c>
      <c r="B65" s="5">
        <v>0.0</v>
      </c>
      <c r="C65" s="6">
        <f t="shared" ref="C65:C75" si="5">A66-A65</f>
        <v>30</v>
      </c>
    </row>
    <row r="66">
      <c r="A66" s="5">
        <v>36.0</v>
      </c>
      <c r="B66" s="5">
        <v>1.0</v>
      </c>
      <c r="C66" s="6">
        <f t="shared" si="5"/>
        <v>22</v>
      </c>
    </row>
    <row r="67">
      <c r="A67" s="5">
        <v>58.0</v>
      </c>
      <c r="B67" s="5">
        <v>2.0</v>
      </c>
      <c r="C67" s="6">
        <f t="shared" si="5"/>
        <v>24</v>
      </c>
    </row>
    <row r="68">
      <c r="A68" s="5">
        <v>82.0</v>
      </c>
      <c r="B68" s="5">
        <v>3.0</v>
      </c>
      <c r="C68" s="6">
        <f t="shared" si="5"/>
        <v>28</v>
      </c>
    </row>
    <row r="69">
      <c r="A69" s="5">
        <v>110.0</v>
      </c>
      <c r="B69" s="5">
        <v>4.0</v>
      </c>
      <c r="C69" s="6">
        <f t="shared" si="5"/>
        <v>20</v>
      </c>
    </row>
    <row r="70">
      <c r="A70" s="5">
        <v>130.0</v>
      </c>
      <c r="B70" s="5">
        <v>5.0</v>
      </c>
      <c r="C70" s="6">
        <f t="shared" si="5"/>
        <v>30</v>
      </c>
    </row>
    <row r="71">
      <c r="A71" s="5">
        <v>160.0</v>
      </c>
      <c r="B71" s="5">
        <v>6.0</v>
      </c>
      <c r="C71" s="6">
        <f t="shared" si="5"/>
        <v>26</v>
      </c>
    </row>
    <row r="72">
      <c r="A72" s="5">
        <v>186.0</v>
      </c>
      <c r="B72" s="5">
        <v>7.0</v>
      </c>
      <c r="C72" s="6">
        <f t="shared" si="5"/>
        <v>28</v>
      </c>
    </row>
    <row r="73">
      <c r="A73" s="5">
        <v>214.0</v>
      </c>
      <c r="B73" s="5">
        <v>8.0</v>
      </c>
      <c r="C73" s="6">
        <f t="shared" si="5"/>
        <v>22</v>
      </c>
    </row>
    <row r="74">
      <c r="A74" s="5">
        <v>236.0</v>
      </c>
      <c r="B74" s="5">
        <v>9.0</v>
      </c>
      <c r="C74" s="6">
        <f t="shared" si="5"/>
        <v>28</v>
      </c>
    </row>
    <row r="75">
      <c r="A75" s="5">
        <v>264.0</v>
      </c>
      <c r="B75" s="5">
        <v>10.0</v>
      </c>
      <c r="C75" s="6">
        <f t="shared" si="5"/>
        <v>30</v>
      </c>
    </row>
    <row r="76">
      <c r="A76" s="5">
        <v>294.0</v>
      </c>
      <c r="B76" s="5">
        <v>11.0</v>
      </c>
    </row>
    <row r="77">
      <c r="B77" s="3" t="s">
        <v>7</v>
      </c>
      <c r="C77" s="6">
        <f>AVERAGE(C64:C76)</f>
        <v>26.18181818</v>
      </c>
      <c r="D77" s="6">
        <f>1/C77</f>
        <v>0.03819444444</v>
      </c>
    </row>
  </sheetData>
  <mergeCells count="5">
    <mergeCell ref="A1:C1"/>
    <mergeCell ref="A17:C17"/>
    <mergeCell ref="A33:C33"/>
    <mergeCell ref="A48:C48"/>
    <mergeCell ref="A63:C63"/>
  </mergeCells>
  <drawing r:id="rId1"/>
</worksheet>
</file>